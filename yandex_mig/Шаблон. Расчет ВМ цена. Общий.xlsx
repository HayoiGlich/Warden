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Общий" sheetId="1" state="visible" r:id="rId2"/>
    <sheet name="Список ВМ" sheetId="2" state="visible" r:id="rId3"/>
    <sheet name="Снимки" sheetId="3" state="visible" r:id="rId4"/>
    <sheet name="Тариф" sheetId="4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<sst xmlns="http://schemas.openxmlformats.org/spreadsheetml/2006/main" count="28" uniqueCount="28">
  <si>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Имя ВМ</t>
  </si>
  <si>
    <t xml:space="preserve">ЦПУ, Шт.</t>
  </si>
  <si>
    <t xml:space="preserve">ОЗУ, Гб</t>
  </si>
  <si>
    <t xml:space="preserve">ДИСК, Гб</t>
  </si>
  <si>
    <t xml:space="preserve">Снимки, Гб</t>
  </si>
  <si>
    <t xml:space="preserve">ИТОГО ЗА ВМ В ДЕНЬ</t>
  </si>
  <si>
    <t xml:space="preserve">ИТОГО ЗА ВМ В ГОД</t>
  </si>
  <si>
    <t xml:space="preserve">ИТОГО ЗА ВСЕ В ГОД</t>
  </si>
  <si>
    <t>ya-dir-rx-prod-monitoring</t>
  </si>
  <si>
    <t>ya-sv-robots-2</t>
  </si>
  <si>
    <t xml:space="preserve">Имя снимка</t>
  </si>
  <si>
    <t xml:space="preserve">Размер, Гб</t>
  </si>
  <si>
    <t>ya-sv-robots-2_ya-sv-robots-2--c</t>
  </si>
  <si>
    <t xml:space="preserve">Цена от 03.10.2025</t>
  </si>
  <si>
    <t xml:space="preserve">ЦПУ (обыч) 100% (Intel Ice Lake)</t>
  </si>
  <si>
    <t xml:space="preserve">ЦПУ (обыч) 50% (Intel Ice Lake)</t>
  </si>
  <si>
    <t xml:space="preserve">ЦПУ (выс произв)</t>
  </si>
  <si>
    <t xml:space="preserve">ОЗУ (обыч)</t>
  </si>
  <si>
    <t xml:space="preserve">ОЗУ (выс произв)</t>
  </si>
  <si>
    <t>SSD</t>
  </si>
  <si>
    <t xml:space="preserve">SSD IO</t>
  </si>
  <si>
    <t>HDD</t>
  </si>
  <si>
    <t xml:space="preserve">S3 Object Storage
Cтандартное хранилище (Занятое место)</t>
  </si>
  <si>
    <t xml:space="preserve">S3 Object Storage
Холодное хранилище (Занятое место)</t>
  </si>
  <si>
    <t xml:space="preserve">S3 Object Storage
Ледяное хранилище (Занятое место)</t>
  </si>
  <si>
    <t>Скидка</t>
  </si>
  <si>
    <t xml:space="preserve">в час</t>
  </si>
  <si>
    <t xml:space="preserve">в сутки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</si>
</sst>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8.000000"/>
      <color theme="1"/>
      <name val="Arial"/>
    </font>
    <font>
      <b/>
      <sz val="10.000000"/>
      <color rgb="FF434343"/>
      <name val="Comfortaa"/>
    </font>
    <font>
      <sz val="10.000000"/>
      <color theme="1"/>
      <name val="Comfortaa"/>
    </font>
    <font>
      <sz val="10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46BDC6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ck">
        <color indexed="65"/>
      </left>
      <right style="thick">
        <color indexed="65"/>
      </right>
      <top style="thick">
        <color indexed="65"/>
      </top>
      <bottom style="thick">
        <color rgb="FFEFEFEF"/>
      </bottom>
      <diagonal style="none"/>
    </border>
    <border>
      <left style="medium">
        <color rgb="FFCCCCCC"/>
      </left>
      <right style="thick">
        <color indexed="65"/>
      </right>
      <top style="thick">
        <color indexed="65"/>
      </top>
      <bottom style="thick">
        <color rgb="FFEFEFEF"/>
      </bottom>
      <diagonal style="none"/>
    </border>
    <border>
      <left style="thick">
        <color rgb="FFEFEFEF"/>
      </left>
      <right style="thick">
        <color rgb="FFEFEFEF"/>
      </right>
      <top style="medium">
        <color rgb="FFCCCCCC"/>
      </top>
      <bottom style="thick">
        <color rgb="FFEFEFEF"/>
      </bottom>
      <diagonal style="none"/>
    </border>
    <border>
      <left style="medium">
        <color rgb="FFCCCCCC"/>
      </left>
      <right style="thick">
        <color rgb="FFEFEFEF"/>
      </right>
      <top style="medium">
        <color rgb="FFCCCCCC"/>
      </top>
      <bottom style="thick">
        <color rgb="FFEFEFEF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0" numFmtId="0" xfId="0" applyAlignment="1">
      <alignment horizontal="center"/>
    </xf>
    <xf fontId="1" fillId="0" borderId="1" numFmtId="0" xfId="0" applyFont="1" applyBorder="1"/>
    <xf fontId="1" fillId="0" borderId="1" numFmtId="0" xfId="0" applyFont="1" applyBorder="1" applyAlignment="1">
      <alignment horizontal="center"/>
    </xf>
    <xf fontId="1" fillId="0" borderId="1" numFmtId="0" xfId="0" applyFont="1" applyBorder="1" applyAlignment="1">
      <alignment horizontal="right"/>
    </xf>
    <xf fontId="0" fillId="0" borderId="0" numFmtId="1" xfId="0" applyNumberFormat="1" applyAlignment="1">
      <alignment horizontal="center"/>
    </xf>
    <xf fontId="0" fillId="0" borderId="0" numFmtId="2" xfId="0" applyNumberFormat="1" applyAlignment="1">
      <alignment horizontal="center"/>
    </xf>
    <xf fontId="0" fillId="0" borderId="0" numFmtId="164" xfId="0" applyNumberFormat="1"/>
    <xf fontId="0" fillId="0" borderId="0" numFmtId="0" xfId="0"/>
    <xf fontId="0" fillId="0" borderId="0" numFmtId="2" xfId="0" applyNumberFormat="1" applyAlignment="1">
      <alignment horizontal="right"/>
    </xf>
    <xf fontId="0" fillId="0" borderId="0" numFmtId="2" xfId="0" applyNumberFormat="1">
      <protection hidden="0" locked="1"/>
    </xf>
    <xf fontId="0" fillId="0" borderId="0" numFmtId="0" xfId="0"/>
    <xf fontId="0" fillId="0" borderId="0" numFmtId="2" xfId="0" applyNumberFormat="1"/>
    <xf fontId="2" fillId="2" borderId="2" numFmtId="0" xfId="0" applyFont="1" applyFill="1" applyBorder="1" applyAlignment="1">
      <alignment wrapText="1"/>
    </xf>
    <xf fontId="3" fillId="2" borderId="3" numFmtId="0" xfId="0" applyFont="1" applyFill="1" applyBorder="1" applyAlignment="1">
      <alignment horizontal="right" wrapText="1"/>
    </xf>
    <xf fontId="3" fillId="2" borderId="3" numFmtId="0" xfId="0" applyFont="1" applyFill="1" applyBorder="1" applyAlignment="1">
      <alignment horizontal="center" wrapText="1"/>
    </xf>
    <xf fontId="3" fillId="0" borderId="4" numFmtId="0" xfId="0" applyFont="1" applyBorder="1" applyAlignment="1">
      <alignment horizontal="right" wrapText="1"/>
    </xf>
    <xf fontId="4" fillId="0" borderId="5" numFmtId="0" xfId="0" applyFont="1" applyBorder="1" applyAlignment="1">
      <alignment horizontal="center" wrapText="1"/>
    </xf>
    <xf fontId="5" fillId="0" borderId="5" numFmt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defaultRowHeight="14.25"/>
  <cols>
    <col bestFit="1" customWidth="1" min="1" max="1" width="24.42578125"/>
    <col customWidth="1" min="2" max="2" style="1" width="10.5703125"/>
    <col customWidth="1" min="3" max="3" style="1" width="10.140625"/>
    <col customWidth="1" min="4" max="5" style="1" width="22.5703125"/>
    <col customWidth="1" min="6" max="6" width="29.42578125"/>
    <col customWidth="1" min="7" max="7" width="34.42578125"/>
    <col customWidth="1" min="8" max="8" width="26.42578125"/>
  </cols>
  <sheetData>
    <row r="1" ht="14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ht="14.25">
      <c r="A2" t="str">
        <f>'Список ВМ'!A2</f>
        <v>ya-dir-rx-prod-monitoring</v>
      </c>
      <c r="B2" s="5">
        <f>'Список ВМ'!B2</f>
        <v>8</v>
      </c>
      <c r="C2" s="5">
        <f>'Список ВМ'!C2</f>
        <v>16</v>
      </c>
      <c r="D2" s="5">
        <f>'Список ВМ'!D2</f>
        <v>80</v>
      </c>
      <c r="E2" s="6"/>
      <c r="F2" s="7">
        <f>B2*Тариф!$B$3+C2*Тариф!$E$3+D2*Тариф!$G$3</f>
        <v>368.15038656000002</v>
      </c>
      <c r="G2" s="7">
        <f>F2*365</f>
        <v>134374.89109439999</v>
      </c>
      <c r="H2" s="7">
        <f>SUM(G2:G200)</f>
        <v>232144.36896239998</v>
      </c>
    </row>
    <row r="3" ht="14.25">
      <c r="A3" t="str">
        <f>'Список ВМ'!A3</f>
        <v>ya-sv-robots-2</v>
      </c>
      <c r="B3" s="5">
        <f>'Список ВМ'!B3</f>
        <v>4</v>
      </c>
      <c r="C3" s="5">
        <f>'Список ВМ'!C3</f>
        <v>16</v>
      </c>
      <c r="D3" s="5">
        <f>'Список ВМ'!D3</f>
        <v>100</v>
      </c>
      <c r="E3" s="5">
        <f>'Снимки'!B3</f>
        <v>27.710000000000001</v>
      </c>
      <c r="F3" s="7">
        <f>B3*'Тариф'!$B$3+C3*'Тариф'!$E$3+D3*'Тариф'!$G$3</f>
        <v>267.86158319999998</v>
      </c>
      <c r="G3" s="7">
        <f>F3*365</f>
        <v>97769.477867999987</v>
      </c>
      <c r="H3" s="7">
        <f>SUM(G3:G201)</f>
        <v>97769.477867999987</v>
      </c>
    </row>
    <row r="4" ht="14.25">
      <c r="B4"/>
      <c r="C4"/>
      <c r="D4"/>
      <c r="E4" s="8"/>
    </row>
    <row r="5" ht="14.25">
      <c r="B5"/>
      <c r="C5"/>
      <c r="D5"/>
      <c r="E5" s="8"/>
    </row>
    <row r="6" ht="14.25">
      <c r="B6"/>
      <c r="C6"/>
      <c r="D6"/>
      <c r="E6" s="8"/>
    </row>
    <row r="7" ht="14.25">
      <c r="B7"/>
      <c r="C7"/>
      <c r="D7"/>
      <c r="E7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6" activeCellId="0" sqref="C6"/>
    </sheetView>
  </sheetViews>
  <sheetFormatPr defaultRowHeight="14.25"/>
  <cols>
    <col bestFit="1" customWidth="1" min="1" max="1" width="24.42578125"/>
    <col customWidth="1" min="2" max="2" style="1" width="10.5703125"/>
    <col customWidth="1" min="3" max="3" style="1" width="10.140625"/>
    <col customWidth="1" min="4" max="4" style="1" width="22.5703125"/>
  </cols>
  <sheetData>
    <row r="1" ht="14.25">
      <c r="A1" s="2" t="s">
        <v>0</v>
      </c>
      <c r="B1" s="3" t="s">
        <v>1</v>
      </c>
      <c r="C1" s="3" t="s">
        <v>2</v>
      </c>
      <c r="D1" s="3" t="s">
        <v>3</v>
      </c>
    </row>
    <row r="2" ht="14.25">
      <c r="A2" t="s">
        <v>8</v>
      </c>
      <c r="B2" s="9">
        <v>8</v>
      </c>
      <c r="C2" s="9">
        <v>16</v>
      </c>
      <c r="D2" s="9">
        <v>80</v>
      </c>
    </row>
    <row r="3" ht="14.25">
      <c r="A3" t="s">
        <v>9</v>
      </c>
      <c r="B3" s="10">
        <v>4</v>
      </c>
      <c r="C3" s="10">
        <v>16</v>
      </c>
      <c r="D3" s="10">
        <v>100</v>
      </c>
    </row>
    <row r="4" ht="14.25">
      <c r="B4"/>
      <c r="C4"/>
      <c r="D4"/>
    </row>
    <row r="5" ht="14.25">
      <c r="B5"/>
      <c r="C5"/>
      <c r="D5"/>
    </row>
    <row r="6" ht="14.25">
      <c r="B6"/>
      <c r="C6"/>
      <c r="D6"/>
    </row>
    <row r="7" ht="14.25">
      <c r="B7"/>
      <c r="C7"/>
      <c r="D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5" activeCellId="0" sqref="B5"/>
    </sheetView>
  </sheetViews>
  <sheetFormatPr defaultRowHeight="14.25"/>
  <cols>
    <col customWidth="1" min="1" max="1" width="28.57421875"/>
    <col customWidth="1" min="2" max="2" style="1" width="20.5703125"/>
  </cols>
  <sheetData>
    <row r="1">
      <c r="A1" s="2" t="s">
        <v>10</v>
      </c>
      <c r="B1" s="3" t="s">
        <v>11</v>
      </c>
    </row>
    <row r="2">
      <c r="A2" t="s">
        <v>8</v>
      </c>
      <c r="B2" s="9">
        <v>8</v>
      </c>
    </row>
    <row r="3" ht="14.25">
      <c r="A3" s="11" t="s">
        <v>12</v>
      </c>
      <c r="B3" s="12">
        <v>27.710000000000001</v>
      </c>
    </row>
    <row r="4">
      <c r="B4"/>
    </row>
    <row r="5">
      <c r="B5"/>
    </row>
    <row r="6">
      <c r="B6"/>
    </row>
    <row r="7">
      <c r="B7"/>
    </row>
    <row r="8">
      <c r="B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width="10.7109375"/>
  </cols>
  <sheetData>
    <row r="1" ht="114.75">
      <c r="A1" s="13" t="s">
        <v>13</v>
      </c>
      <c r="B1" s="14" t="s">
        <v>14</v>
      </c>
      <c r="C1" s="14" t="s">
        <v>15</v>
      </c>
      <c r="D1" s="14" t="s">
        <v>16</v>
      </c>
      <c r="E1" s="14" t="s">
        <v>17</v>
      </c>
      <c r="F1" s="14" t="s">
        <v>18</v>
      </c>
      <c r="G1" s="14" t="s">
        <v>19</v>
      </c>
      <c r="H1" s="14" t="s">
        <v>20</v>
      </c>
      <c r="I1" s="14" t="s">
        <v>21</v>
      </c>
      <c r="J1" s="15" t="s">
        <v>22</v>
      </c>
      <c r="K1" s="15" t="s">
        <v>23</v>
      </c>
      <c r="L1" s="15" t="s">
        <v>24</v>
      </c>
      <c r="M1" s="15"/>
      <c r="N1" s="14" t="s">
        <v>25</v>
      </c>
    </row>
    <row r="2" ht="16.5">
      <c r="A2" s="16" t="s">
        <v>26</v>
      </c>
      <c r="B2" s="17">
        <v>1.1339999999999999</v>
      </c>
      <c r="C2" s="17">
        <v>0.64000000000000001</v>
      </c>
      <c r="D2" s="17">
        <v>1.9008</v>
      </c>
      <c r="E2" s="17">
        <v>0.3024</v>
      </c>
      <c r="F2" s="17">
        <v>0.34560000000000002</v>
      </c>
      <c r="G2" s="17">
        <v>0.017864992999999999</v>
      </c>
      <c r="H2" s="18"/>
      <c r="I2" s="17">
        <v>0.0043799939999999999</v>
      </c>
      <c r="J2" s="17">
        <v>0.0030149819999999998</v>
      </c>
      <c r="K2" s="17">
        <v>0.001604999</v>
      </c>
      <c r="L2" s="17">
        <v>0.00080249900000000003</v>
      </c>
      <c r="M2" s="17"/>
      <c r="N2" s="17">
        <v>11.1</v>
      </c>
    </row>
    <row r="3" ht="16.5">
      <c r="A3" s="16" t="s">
        <v>27</v>
      </c>
      <c r="B3" s="17">
        <f>B2*24</f>
        <v>27.215999999999998</v>
      </c>
      <c r="C3" s="17">
        <f t="shared" ref="C3:L3" si="0">C2*24</f>
        <v>15.359999999999999</v>
      </c>
      <c r="D3" s="17">
        <f t="shared" si="0"/>
        <v>45.619199999999999</v>
      </c>
      <c r="E3" s="17">
        <f t="shared" si="0"/>
        <v>7.2576000000000001</v>
      </c>
      <c r="F3" s="17">
        <f t="shared" si="0"/>
        <v>8.2943999999999996</v>
      </c>
      <c r="G3" s="17">
        <f t="shared" si="0"/>
        <v>0.42875983200000001</v>
      </c>
      <c r="H3" s="17">
        <f t="shared" si="0"/>
        <v>0</v>
      </c>
      <c r="I3" s="17">
        <f t="shared" si="0"/>
        <v>0.105119856</v>
      </c>
      <c r="J3" s="17">
        <f t="shared" si="0"/>
        <v>0.072359567999999999</v>
      </c>
      <c r="K3" s="17">
        <f t="shared" si="0"/>
        <v>0.038519975999999997</v>
      </c>
      <c r="L3" s="17">
        <f t="shared" si="0"/>
        <v>0.019259976000000002</v>
      </c>
      <c r="M3" s="17"/>
      <c r="N3" s="18"/>
    </row>
    <row r="4" ht="15.7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>diakov.net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Аточкин Александр Анатольевич</cp:lastModifiedBy>
  <cp:revision>1</cp:revision>
  <dcterms:created xsi:type="dcterms:W3CDTF">2025-10-03T08:57:09Z</dcterms:created>
  <dcterms:modified xsi:type="dcterms:W3CDTF">2026-07-13T11:27:42Z</dcterms:modified>
</cp:coreProperties>
</file>